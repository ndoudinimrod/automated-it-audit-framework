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ve04\Documents\Github\PROJETS_GITHUB\automated-it-audit-framework\"/>
    </mc:Choice>
  </mc:AlternateContent>
  <xr:revisionPtr revIDLastSave="0" documentId="13_ncr:1_{7AB6ED30-A5DE-4F42-B765-6D44F23A6832}" xr6:coauthVersionLast="47" xr6:coauthVersionMax="47" xr10:uidLastSave="{00000000-0000-0000-0000-000000000000}"/>
  <workbookProtection workbookAlgorithmName="SHA-512" workbookHashValue="LQlwpOM+ZHTVWkeioDMayU0PI6it3U/vWyzJIxuSm2RkWwkollvem02H03uQdZU3IBkp+G+pm/vTxXq+0l5X/A==" workbookSaltValue="sliN4cSZv7tixz9rULB9Uw==" workbookSpinCount="100000" lockStructure="1"/>
  <bookViews>
    <workbookView xWindow="-120" yWindow="-120" windowWidth="20730" windowHeight="11040" xr2:uid="{00000000-000D-0000-FFFF-FFFF00000000}"/>
  </bookViews>
  <sheets>
    <sheet name="Accueil" sheetId="1" r:id="rId1"/>
    <sheet name="Contrôles" sheetId="2" r:id="rId2"/>
    <sheet name="Synthèse" sheetId="3" r:id="rId3"/>
  </sheets>
  <functionGroups builtInGroupCount="19"/>
  <definedNames>
    <definedName name="_xlnm._FilterDatabase" localSheetId="1" hidden="1">Contrôles!$B$4:$I$29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5" i="3" l="1"/>
  <c r="E5" i="3"/>
  <c r="D5" i="3"/>
  <c r="F6" i="3"/>
  <c r="E6" i="3"/>
  <c r="D6" i="3"/>
  <c r="F4" i="3"/>
  <c r="E4" i="3"/>
  <c r="D4" i="3"/>
  <c r="C6" i="3"/>
  <c r="C5" i="3"/>
  <c r="C4" i="3"/>
  <c r="F3" i="3"/>
  <c r="E3" i="3"/>
  <c r="D3" i="3"/>
  <c r="C3" i="3"/>
  <c r="G6" i="3" l="1"/>
  <c r="G5" i="3"/>
  <c r="G4" i="3"/>
  <c r="F7" i="3"/>
  <c r="D7" i="3"/>
  <c r="C7" i="3"/>
  <c r="E7" i="3"/>
  <c r="G7" i="3" l="1"/>
</calcChain>
</file>

<file path=xl/sharedStrings.xml><?xml version="1.0" encoding="utf-8"?>
<sst xmlns="http://schemas.openxmlformats.org/spreadsheetml/2006/main" count="143" uniqueCount="119">
  <si>
    <t>PROGRAMME DE CONTRÔLES IT</t>
  </si>
  <si>
    <t>NIS2 / DORA — Audit IT | Référentiel de contrôles</t>
  </si>
  <si>
    <t>Entité auditée</t>
  </si>
  <si>
    <t>Responsable de la mission</t>
  </si>
  <si>
    <t>Date de début</t>
  </si>
  <si>
    <t>Date de fin prévue</t>
  </si>
  <si>
    <t>LÉGENDE DES STATUTS</t>
  </si>
  <si>
    <t>Conforme</t>
  </si>
  <si>
    <t>Le contrôle est satisfaisant. Les preuves collectées confirment la conformité.</t>
  </si>
  <si>
    <t>Non-Conforme</t>
  </si>
  <si>
    <t>Observation</t>
  </si>
  <si>
    <t>Point d'amélioration sans risque immédiat. Suivi recommandé.</t>
  </si>
  <si>
    <t>N/A</t>
  </si>
  <si>
    <t>Contrôle non applicable dans le périmètre de la mission.</t>
  </si>
  <si>
    <t>▶  GÉNÉRER LE RAPPORT WORD</t>
  </si>
  <si>
    <t>→ Exécuter la macro 'GenererRapportWord' (Alt+F8) ou utiliser le bouton ci-dessus</t>
  </si>
  <si>
    <t>PROGRAMME DE CONTRÔLES IT — NIS2 / DORA</t>
  </si>
  <si>
    <t>Saisir le statut et les constatations pour chaque contrôle. Générer le rapport via la macro (Accueil).</t>
  </si>
  <si>
    <t>N°</t>
  </si>
  <si>
    <t>Réf.</t>
  </si>
  <si>
    <t>Intitulé du contrôle</t>
  </si>
  <si>
    <t>Description / Procédure</t>
  </si>
  <si>
    <t>Statut</t>
  </si>
  <si>
    <t>Constatations / Preuves</t>
  </si>
  <si>
    <t>Référence réglementaire</t>
  </si>
  <si>
    <t xml:space="preserve">  ▌ ACCESS MANAGEMENT</t>
  </si>
  <si>
    <t>NIS2-AM-01</t>
  </si>
  <si>
    <t>Gestion des accès privilégiés</t>
  </si>
  <si>
    <t>Vérifier que les accès à privilèges (admin, root, DBA) font l'objet d'une revue trimestrielle et d'une approbation formelle.</t>
  </si>
  <si>
    <t>NIS2 Art.21(2)(i) – Politiques relatives au contrôle d'accès</t>
  </si>
  <si>
    <t>NIS2-AM-02</t>
  </si>
  <si>
    <t>Authentification multifacteur (MFA)</t>
  </si>
  <si>
    <t>Contrôler la mise en œuvre du MFA pour tous les accès distants, VPN et interfaces d'administration.</t>
  </si>
  <si>
    <t>NIS2 Art.21(2)(j) – Utilisation de l'authentification à plusieurs facteurs</t>
  </si>
  <si>
    <t>NIS2-AM-03</t>
  </si>
  <si>
    <t>Revue périodique des droits d'accès</t>
  </si>
  <si>
    <t>S'assurer qu'une revue semestrielle des droits d'accès applicatifs et systèmes est formalisée et tracée.</t>
  </si>
  <si>
    <t>NIS2-AM-04</t>
  </si>
  <si>
    <t>Gestion du cycle de vie des comptes</t>
  </si>
  <si>
    <t>Vérifier que les procédures de création, modification et suppression de comptes sont documentées et appliquées (offboarding &lt; 24h).</t>
  </si>
  <si>
    <t>DORA-AM-01</t>
  </si>
  <si>
    <t>Accès aux systèmes TIC critiques</t>
  </si>
  <si>
    <t>Contrôler que l'accès aux systèmes TIC critiques est restreint selon le principe du moindre privilège et documenté dans le registre des actifs.</t>
  </si>
  <si>
    <t>DORA Art.9(4)(a) – Gestion des accès et contrôle des droits</t>
  </si>
  <si>
    <t>DORA-AM-02</t>
  </si>
  <si>
    <t>Journalisation des accès administrateurs</t>
  </si>
  <si>
    <t>Vérifier que tous les accès administrateurs aux systèmes critiques sont journalisés, horodatés et conservés selon la politique de rétention.</t>
  </si>
  <si>
    <t>DORA Art.9(4)(c) – Politiques et mesures de sécurité des TIC</t>
  </si>
  <si>
    <t xml:space="preserve">  ▌ SÉCURITÉ OPÉRATIONNELLE</t>
  </si>
  <si>
    <t>NIS2-SO-01</t>
  </si>
  <si>
    <t>Gestion des correctifs (Patch Management)</t>
  </si>
  <si>
    <t>Contrôler l'existence d'une procédure de gestion des correctifs avec SLA définis (critique &lt; 72h, haut &lt; 30j) et traçabilité des déploiements.</t>
  </si>
  <si>
    <t>NIS2 Art.21(2)(e) – Sécurité dans l'acquisition, le développement et la maintenance</t>
  </si>
  <si>
    <t>NIS2-SO-02</t>
  </si>
  <si>
    <t>Détection et réponse aux incidents</t>
  </si>
  <si>
    <t>Vérifier que des procédures de détection, classification et notification des incidents sont en place et testées annuellement.</t>
  </si>
  <si>
    <t>NIS2 Art.21(2)(b) – Gestion des incidents</t>
  </si>
  <si>
    <t>NIS2-SO-03</t>
  </si>
  <si>
    <t>Sauvegardes et restauration</t>
  </si>
  <si>
    <t>S'assurer que les sauvegardes sont réalisées selon la politique 3-2-1, chiffrées, et qu'un test de restauration est effectué au moins annuellement.</t>
  </si>
  <si>
    <t>NIS2 Art.21(2)(c) – Continuité des activités et gestion des crises</t>
  </si>
  <si>
    <t>NIS2-SO-04</t>
  </si>
  <si>
    <t>Gestion de la continuité d'activité</t>
  </si>
  <si>
    <t>Vérifier l'existence d'un PCA/PRA formalisé, validé par la direction, avec des RTO/RPO définis et testés.</t>
  </si>
  <si>
    <t>DORA-SO-01</t>
  </si>
  <si>
    <t>Tests de résilience opérationnelle</t>
  </si>
  <si>
    <t>Contrôler que des tests de résilience (TLPT ou équivalent) sont planifiés et que les résultats sont documentés et transmis à la direction.</t>
  </si>
  <si>
    <t>DORA Art.24 – Tests de résilience opérationnelle numérique avancés</t>
  </si>
  <si>
    <t>DORA-SO-02</t>
  </si>
  <si>
    <t>Surveillance de la chaîne d'approvisionnement TIC</t>
  </si>
  <si>
    <t>Vérifier que les prestataires TIC tiers critiques sont identifiés dans un registre et font l'objet d'une évaluation des risques annuelle.</t>
  </si>
  <si>
    <t>DORA Art.28 – Principes généraux de gestion des risques liés aux tiers TIC</t>
  </si>
  <si>
    <t>DORA-SO-03</t>
  </si>
  <si>
    <t>Notification des incidents TIC majeurs</t>
  </si>
  <si>
    <t>S'assurer que la procédure de notification des incidents TIC majeurs (ACPR/BCE) est documentée et respecte les délais réglementaires (4h/24h/72h).</t>
  </si>
  <si>
    <t>DORA Art.19 – Classification des incidents liés aux TIC et cyber-menaces</t>
  </si>
  <si>
    <t xml:space="preserve">  ▌ CYBERSÉCURITÉ</t>
  </si>
  <si>
    <t>NIS2-CY-01</t>
  </si>
  <si>
    <t>Chiffrement des données sensibles</t>
  </si>
  <si>
    <t>Contrôler que les données sensibles au repos et en transit sont chiffrées selon des standards à jour (AES-256, TLS 1.2+).</t>
  </si>
  <si>
    <t>NIS2 Art.21(2)(h) – Politiques relatives à la cryptographie et au chiffrement</t>
  </si>
  <si>
    <t>NIS2-CY-02</t>
  </si>
  <si>
    <t>Sécurité de la chaîne d'approvisionnement</t>
  </si>
  <si>
    <t>Vérifier que les prestataires et fournisseurs font l'objet d'une évaluation sécurité lors de l'entrée en relation et périodiquement.</t>
  </si>
  <si>
    <t>NIS2 Art.21(2)(d) – Sécurité de la chaîne d'approvisionnement</t>
  </si>
  <si>
    <t>NIS2-CY-03</t>
  </si>
  <si>
    <t>Sensibilisation et formation à la cybersécurité</t>
  </si>
  <si>
    <t>S'assurer qu'un programme de sensibilisation annuel est déployé pour l'ensemble du personnel, avec traçabilité des formations réalisées.</t>
  </si>
  <si>
    <t>NIS2 Art.21(2)(g) – Pratiques de base en matière de cyber-hygiène et formation</t>
  </si>
  <si>
    <t>NIS2-CY-04</t>
  </si>
  <si>
    <t>Gestion des vulnérabilités</t>
  </si>
  <si>
    <t>Contrôler l'existence d'un processus de scan de vulnérabilités régulier (mensuel minimum) et de traitement des CVE critiques dans les délais.</t>
  </si>
  <si>
    <t>DORA-CY-01</t>
  </si>
  <si>
    <t>Politique de sécurité des TIC</t>
  </si>
  <si>
    <t>Vérifier qu'une politique de sécurité des TIC formalisée, approuvée par l'organe de direction, est en vigueur et révisée annuellement.</t>
  </si>
  <si>
    <t>DORA Art.9 – Protection et prévention</t>
  </si>
  <si>
    <t>DORA-CY-02</t>
  </si>
  <si>
    <t>Classification des actifs TIC</t>
  </si>
  <si>
    <t>S'assurer que tous les actifs TIC sont inventoriés, classifiés selon leur criticité et que l'inventaire est maintenu à jour (revue annuelle minimum).</t>
  </si>
  <si>
    <t>DORA Art.8 – Identification</t>
  </si>
  <si>
    <t>DORA-CY-03</t>
  </si>
  <si>
    <t>Plan de réponse aux cyber-incidents</t>
  </si>
  <si>
    <t>Contrôler l'existence d'un plan de réponse aux cyber-incidents formalisé, avec rôles et responsabilités définis, testé au moins annuellement.</t>
  </si>
  <si>
    <t>DORA Art.18 – Gestion, classification et notification des incidents liés aux TIC</t>
  </si>
  <si>
    <t>SYNTHÈSE PAR DOMAINE</t>
  </si>
  <si>
    <t>Domaine</t>
  </si>
  <si>
    <t>Total</t>
  </si>
  <si>
    <t>Access Management</t>
  </si>
  <si>
    <t>Sécurité Opérationnelle</t>
  </si>
  <si>
    <t>Cybersécurité</t>
  </si>
  <si>
    <t>TOTAL</t>
  </si>
  <si>
    <t>Intervenants / Responsable</t>
  </si>
  <si>
    <t>T1 2026</t>
  </si>
  <si>
    <t>T2 2026</t>
  </si>
  <si>
    <t>N.NDOUDI</t>
  </si>
  <si>
    <t>Périmètre /Application</t>
  </si>
  <si>
    <t>APPLICATION</t>
  </si>
  <si>
    <t>Une non-conformité est identifiée. Une action corrective/ recommandation est requise</t>
  </si>
  <si>
    <t>ENTREPRISE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</si>
</sst>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20"/>
      <color rgb="FFFFFFFF"/>
      <name val="Arial"/>
      <family val="2"/>
    </font>
    <font>
      <sz val="11"/>
      <color rgb="FFFFFFFF"/>
      <name val="Arial"/>
      <family val="2"/>
    </font>
    <font>
      <b/>
      <sz val="10"/>
      <color rgb="FF1F3864"/>
      <name val="Arial"/>
      <family val="2"/>
    </font>
    <font>
      <sz val="10"/>
      <name val="Arial"/>
      <family val="2"/>
    </font>
    <font>
      <b/>
      <sz val="10"/>
      <color rgb="FFFFFFFF"/>
      <name val="Arial"/>
      <family val="2"/>
    </font>
    <font>
      <i/>
      <sz val="9"/>
      <color rgb="FF888888"/>
      <name val="Arial"/>
      <family val="2"/>
    </font>
    <font>
      <b/>
      <sz val="14"/>
      <color rgb="FFFFFFFF"/>
      <name val="Arial"/>
      <family val="2"/>
    </font>
    <font>
      <i/>
      <sz val="9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2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color rgb="FF1F3864"/>
      <name val="Arial"/>
      <family val="2"/>
    </font>
    <font>
      <b/>
      <sz val="10"/>
      <color rgb="FFFFFFFF"/>
      <name val="Arial"/>
      <family val="2"/>
    </font>
    <font>
      <b/>
      <i/>
      <sz val="18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EBF3FB"/>
      </patternFill>
    </fill>
    <fill>
      <patternFill patternType="solid">
        <fgColor rgb="FFFFFFFF"/>
      </patternFill>
    </fill>
    <fill>
      <patternFill patternType="solid">
        <fgColor rgb="FF00B050"/>
      </patternFill>
    </fill>
    <fill>
      <patternFill patternType="solid">
        <fgColor rgb="FFFAFAFA"/>
      </patternFill>
    </fill>
    <fill>
      <patternFill patternType="solid">
        <fgColor rgb="FFFF0000"/>
      </patternFill>
    </fill>
    <fill>
      <patternFill patternType="solid">
        <fgColor rgb="FFFF9900"/>
      </patternFill>
    </fill>
    <fill>
      <patternFill patternType="solid">
        <fgColor rgb="FF808080"/>
      </patternFill>
    </fill>
    <fill>
      <patternFill patternType="solid">
        <fgColor rgb="FFD6E4F0"/>
      </patternFill>
    </fill>
    <fill>
      <patternFill patternType="solid">
        <fgColor rgb="FF375623"/>
      </patternFill>
    </fill>
    <fill>
      <patternFill patternType="solid">
        <fgColor rgb="FFD5E8D4"/>
      </patternFill>
    </fill>
    <fill>
      <patternFill patternType="solid">
        <fgColor rgb="FF7F6000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medium">
        <color rgb="FF2E75B6"/>
      </left>
      <right style="medium">
        <color rgb="FF2E75B6"/>
      </right>
      <top style="medium">
        <color rgb="FF2E75B6"/>
      </top>
      <bottom style="medium">
        <color rgb="FF2E75B6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3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/>
    <xf numFmtId="0" fontId="15" fillId="6" borderId="1" xfId="0" applyFont="1" applyFill="1" applyBorder="1" applyAlignment="1" applyProtection="1">
      <alignment horizontal="center" vertical="center"/>
    </xf>
    <xf numFmtId="0" fontId="15" fillId="8" borderId="1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15" fillId="10" borderId="1" xfId="0" applyFont="1" applyFill="1" applyBorder="1" applyAlignment="1" applyProtection="1">
      <alignment horizontal="center" vertical="center"/>
    </xf>
    <xf numFmtId="0" fontId="13" fillId="11" borderId="1" xfId="0" applyFont="1" applyFill="1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 applyProtection="1">
      <alignment horizontal="left" vertical="center" wrapText="1"/>
      <protection locked="0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13" borderId="1" xfId="0" applyFont="1" applyFill="1" applyBorder="1" applyAlignment="1" applyProtection="1">
      <alignment horizontal="left" vertical="center" wrapText="1"/>
      <protection locked="0"/>
    </xf>
    <xf numFmtId="0" fontId="4" fillId="15" borderId="1" xfId="0" applyFont="1" applyFill="1" applyBorder="1" applyAlignment="1" applyProtection="1">
      <alignment horizontal="center" vertical="center"/>
      <protection locked="0"/>
    </xf>
    <xf numFmtId="0" fontId="4" fillId="15" borderId="1" xfId="0" applyFont="1" applyFill="1" applyBorder="1" applyAlignment="1" applyProtection="1">
      <alignment horizontal="left" vertical="center" wrapText="1"/>
      <protection locked="0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13" fillId="5" borderId="1" xfId="0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13" fillId="7" borderId="1" xfId="0" applyFont="1" applyFill="1" applyBorder="1" applyAlignment="1" applyProtection="1">
      <alignment horizontal="left" vertical="center" wrapText="1"/>
    </xf>
    <xf numFmtId="0" fontId="0" fillId="0" borderId="0" xfId="0" applyProtection="1"/>
    <xf numFmtId="0" fontId="5" fillId="3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14" fillId="4" borderId="1" xfId="0" applyFont="1" applyFill="1" applyBorder="1" applyAlignment="1" applyProtection="1">
      <alignment horizontal="left" vertical="center"/>
    </xf>
    <xf numFmtId="0" fontId="2" fillId="3" borderId="0" xfId="0" applyFont="1" applyFill="1" applyAlignment="1" applyProtection="1">
      <alignment horizontal="center" vertical="center"/>
    </xf>
    <xf numFmtId="0" fontId="3" fillId="4" borderId="1" xfId="0" applyFont="1" applyFill="1" applyBorder="1" applyAlignment="1" applyProtection="1">
      <alignment horizontal="left" vertical="center"/>
    </xf>
    <xf numFmtId="0" fontId="4" fillId="7" borderId="1" xfId="0" applyFont="1" applyFill="1" applyBorder="1" applyAlignment="1" applyProtection="1">
      <alignment horizontal="left" vertical="center" wrapText="1"/>
    </xf>
    <xf numFmtId="0" fontId="11" fillId="2" borderId="2" xfId="0" applyFont="1" applyFill="1" applyBorder="1" applyAlignment="1" applyProtection="1">
      <alignment horizontal="center" vertical="center"/>
    </xf>
    <xf numFmtId="0" fontId="9" fillId="14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9" fillId="12" borderId="1" xfId="0" applyFont="1" applyFill="1" applyBorder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19</xdr:row>
          <xdr:rowOff>85725</xdr:rowOff>
        </xdr:from>
        <xdr:to>
          <xdr:col>3</xdr:col>
          <xdr:colOff>3324225</xdr:colOff>
          <xdr:row>21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  GÉNÉRER LE RAPPORT 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D24"/>
  <sheetViews>
    <sheetView showGridLines="0" tabSelected="1" topLeftCell="A4" zoomScale="90" zoomScaleNormal="90" workbookViewId="0">
      <selection activeCell="I16" sqref="I16"/>
    </sheetView>
  </sheetViews>
  <sheetFormatPr baseColWidth="10" defaultColWidth="9.140625" defaultRowHeight="15" x14ac:dyDescent="0.25"/>
  <cols>
    <col min="1" max="1" width="3" style="15" customWidth="1"/>
    <col min="2" max="2" width="55" style="15" customWidth="1"/>
    <col min="3" max="3" width="25" style="15" customWidth="1"/>
    <col min="4" max="4" width="52.85546875" style="15" customWidth="1"/>
    <col min="5" max="16384" width="9.140625" style="15"/>
  </cols>
  <sheetData>
    <row r="1" spans="2:4" ht="30" customHeight="1" x14ac:dyDescent="0.25">
      <c r="B1" s="26" t="s">
        <v>0</v>
      </c>
      <c r="C1" s="27"/>
      <c r="D1" s="27"/>
    </row>
    <row r="2" spans="2:4" ht="20.100000000000001" customHeight="1" x14ac:dyDescent="0.25">
      <c r="B2" s="27"/>
      <c r="C2" s="27"/>
      <c r="D2" s="27"/>
    </row>
    <row r="3" spans="2:4" ht="20.100000000000001" customHeight="1" x14ac:dyDescent="0.25">
      <c r="B3" s="27"/>
      <c r="C3" s="27"/>
      <c r="D3" s="27"/>
    </row>
    <row r="4" spans="2:4" ht="21.95" customHeight="1" x14ac:dyDescent="0.25">
      <c r="B4" s="35" t="s">
        <v>1</v>
      </c>
      <c r="C4" s="31"/>
      <c r="D4" s="31"/>
    </row>
    <row r="5" spans="2:4" ht="6" customHeight="1" x14ac:dyDescent="0.25"/>
    <row r="6" spans="2:4" ht="6" customHeight="1" x14ac:dyDescent="0.25"/>
    <row r="7" spans="2:4" ht="6" customHeight="1" x14ac:dyDescent="0.25"/>
    <row r="8" spans="2:4" ht="24" customHeight="1" x14ac:dyDescent="0.25">
      <c r="B8" s="36" t="s">
        <v>2</v>
      </c>
      <c r="C8" s="44" t="s">
        <v>118</v>
      </c>
      <c r="D8" s="29"/>
    </row>
    <row r="9" spans="2:4" ht="24" customHeight="1" x14ac:dyDescent="0.25">
      <c r="B9" s="36" t="s">
        <v>3</v>
      </c>
      <c r="C9" s="28" t="s">
        <v>114</v>
      </c>
      <c r="D9" s="29"/>
    </row>
    <row r="10" spans="2:4" ht="24" customHeight="1" x14ac:dyDescent="0.25">
      <c r="B10" s="36" t="s">
        <v>4</v>
      </c>
      <c r="C10" s="28" t="s">
        <v>112</v>
      </c>
      <c r="D10" s="29"/>
    </row>
    <row r="11" spans="2:4" ht="24" customHeight="1" x14ac:dyDescent="0.25">
      <c r="B11" s="36" t="s">
        <v>5</v>
      </c>
      <c r="C11" s="28" t="s">
        <v>113</v>
      </c>
      <c r="D11" s="29"/>
    </row>
    <row r="12" spans="2:4" ht="24" customHeight="1" x14ac:dyDescent="0.25">
      <c r="B12" s="34" t="s">
        <v>115</v>
      </c>
      <c r="C12" s="28" t="s">
        <v>116</v>
      </c>
      <c r="D12" s="29"/>
    </row>
    <row r="14" spans="2:4" ht="8.1" customHeight="1" x14ac:dyDescent="0.25"/>
    <row r="15" spans="2:4" x14ac:dyDescent="0.25">
      <c r="B15" s="32" t="s">
        <v>6</v>
      </c>
      <c r="C15" s="31"/>
      <c r="D15" s="31"/>
    </row>
    <row r="16" spans="2:4" ht="20.100000000000001" customHeight="1" x14ac:dyDescent="0.25">
      <c r="B16" s="16" t="s">
        <v>7</v>
      </c>
      <c r="C16" s="30" t="s">
        <v>8</v>
      </c>
      <c r="D16" s="31"/>
    </row>
    <row r="17" spans="2:4" ht="20.100000000000001" customHeight="1" x14ac:dyDescent="0.25">
      <c r="B17" s="17" t="s">
        <v>9</v>
      </c>
      <c r="C17" s="30" t="s">
        <v>117</v>
      </c>
      <c r="D17" s="31"/>
    </row>
    <row r="18" spans="2:4" ht="20.100000000000001" customHeight="1" x14ac:dyDescent="0.25">
      <c r="B18" s="18" t="s">
        <v>10</v>
      </c>
      <c r="C18" s="37" t="s">
        <v>11</v>
      </c>
      <c r="D18" s="31"/>
    </row>
    <row r="19" spans="2:4" ht="20.100000000000001" customHeight="1" x14ac:dyDescent="0.25">
      <c r="B19" s="19" t="s">
        <v>12</v>
      </c>
      <c r="C19" s="37" t="s">
        <v>13</v>
      </c>
      <c r="D19" s="31"/>
    </row>
    <row r="22" spans="2:4" ht="12" customHeight="1" x14ac:dyDescent="0.25"/>
    <row r="23" spans="2:4" ht="35.1" customHeight="1" x14ac:dyDescent="0.25">
      <c r="B23" s="38" t="s">
        <v>14</v>
      </c>
      <c r="C23" s="31"/>
      <c r="D23" s="31"/>
    </row>
    <row r="24" spans="2:4" ht="14.1" customHeight="1" x14ac:dyDescent="0.25">
      <c r="B24" s="33" t="s">
        <v>15</v>
      </c>
      <c r="C24" s="31"/>
      <c r="D24" s="31"/>
    </row>
  </sheetData>
  <sheetProtection algorithmName="SHA-512" hashValue="QY2FojmpTkJXeIP8CQGntng+hHaAy7DlMUYpp4/vm7yNYZPcZLUNs+v8dn3fhYvDV7+nTTFDHLGYmYrNCtw0CA==" saltValue="Mn0DbSJ1WbgSAxSNXZb2iA==" spinCount="100000" sheet="1" objects="1" scenarios="1" formatCells="0" formatRows="0" insertColumns="0" insertRows="0" deleteColumns="0" deleteRows="0"/>
  <mergeCells count="19">
    <mergeCell ref="B24:D24"/>
    <mergeCell ref="C12:D12"/>
    <mergeCell ref="B12"/>
    <mergeCell ref="C11:D11"/>
    <mergeCell ref="B4:D4"/>
    <mergeCell ref="B11"/>
    <mergeCell ref="C17:D17"/>
    <mergeCell ref="C8:D8"/>
    <mergeCell ref="B8"/>
    <mergeCell ref="C19:D19"/>
    <mergeCell ref="B10"/>
    <mergeCell ref="C18:D18"/>
    <mergeCell ref="B9"/>
    <mergeCell ref="B23:D23"/>
    <mergeCell ref="B1:D3"/>
    <mergeCell ref="C10:D10"/>
    <mergeCell ref="C16:D16"/>
    <mergeCell ref="C9:D9"/>
    <mergeCell ref="B15:D15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nererRapportWord">
                <anchor moveWithCells="1" sizeWithCells="1">
                  <from>
                    <xdr:col>0</xdr:col>
                    <xdr:colOff>161925</xdr:colOff>
                    <xdr:row>19</xdr:row>
                    <xdr:rowOff>85725</xdr:rowOff>
                  </from>
                  <to>
                    <xdr:col>3</xdr:col>
                    <xdr:colOff>3324225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1:I29"/>
  <sheetViews>
    <sheetView showGridLines="0" zoomScale="80" zoomScaleNormal="80" workbookViewId="0">
      <pane xSplit="1" ySplit="4" topLeftCell="E6" activePane="bottomRight" state="frozen"/>
      <selection pane="topRight"/>
      <selection pane="bottomLeft"/>
      <selection pane="bottomRight" activeCell="H7" sqref="H7"/>
    </sheetView>
  </sheetViews>
  <sheetFormatPr baseColWidth="10" defaultColWidth="9.140625" defaultRowHeight="15" x14ac:dyDescent="0.25"/>
  <cols>
    <col min="1" max="1" width="3" customWidth="1"/>
    <col min="2" max="2" width="5" customWidth="1"/>
    <col min="3" max="3" width="14" customWidth="1"/>
    <col min="4" max="4" width="35" customWidth="1"/>
    <col min="5" max="5" width="65" customWidth="1"/>
    <col min="6" max="6" width="18" style="14" customWidth="1"/>
    <col min="7" max="7" width="18" customWidth="1"/>
    <col min="8" max="8" width="55" customWidth="1"/>
    <col min="9" max="9" width="32.7109375" bestFit="1" customWidth="1"/>
    <col min="10" max="10" width="3" customWidth="1"/>
  </cols>
  <sheetData>
    <row r="1" spans="2:9" ht="32.1" customHeight="1" x14ac:dyDescent="0.25">
      <c r="B1" s="40" t="s">
        <v>16</v>
      </c>
      <c r="C1" s="27"/>
      <c r="D1" s="27"/>
      <c r="E1" s="27"/>
      <c r="F1" s="27"/>
      <c r="G1" s="27"/>
      <c r="H1" s="27"/>
      <c r="I1" s="27"/>
    </row>
    <row r="2" spans="2:9" ht="18" customHeight="1" x14ac:dyDescent="0.25">
      <c r="B2" s="42" t="s">
        <v>17</v>
      </c>
      <c r="C2" s="27"/>
      <c r="D2" s="27"/>
      <c r="E2" s="27"/>
      <c r="F2" s="27"/>
      <c r="G2" s="27"/>
      <c r="H2" s="27"/>
      <c r="I2" s="27"/>
    </row>
    <row r="3" spans="2:9" ht="6" customHeight="1" x14ac:dyDescent="0.25"/>
    <row r="4" spans="2:9" ht="27.95" customHeight="1" x14ac:dyDescent="0.25">
      <c r="B4" s="2" t="s">
        <v>18</v>
      </c>
      <c r="C4" s="2" t="s">
        <v>19</v>
      </c>
      <c r="D4" s="2" t="s">
        <v>20</v>
      </c>
      <c r="E4" s="2" t="s">
        <v>21</v>
      </c>
      <c r="F4" s="2" t="s">
        <v>22</v>
      </c>
      <c r="G4" s="12" t="s">
        <v>111</v>
      </c>
      <c r="H4" s="2" t="s">
        <v>23</v>
      </c>
      <c r="I4" s="2" t="s">
        <v>24</v>
      </c>
    </row>
    <row r="5" spans="2:9" ht="26.1" customHeight="1" x14ac:dyDescent="0.25">
      <c r="B5" s="43" t="s">
        <v>25</v>
      </c>
      <c r="C5" s="27"/>
      <c r="D5" s="27"/>
      <c r="E5" s="27"/>
      <c r="F5" s="27"/>
      <c r="G5" s="27"/>
      <c r="H5" s="27"/>
      <c r="I5" s="27"/>
    </row>
    <row r="6" spans="2:9" ht="54.95" customHeight="1" x14ac:dyDescent="0.25">
      <c r="B6" s="3">
        <v>1</v>
      </c>
      <c r="C6" s="4" t="s">
        <v>26</v>
      </c>
      <c r="D6" s="4" t="s">
        <v>27</v>
      </c>
      <c r="E6" s="4" t="s">
        <v>28</v>
      </c>
      <c r="F6" s="20" t="s">
        <v>7</v>
      </c>
      <c r="G6" s="20"/>
      <c r="H6" s="21"/>
      <c r="I6" s="4" t="s">
        <v>29</v>
      </c>
    </row>
    <row r="7" spans="2:9" ht="54.95" customHeight="1" x14ac:dyDescent="0.25">
      <c r="B7" s="3">
        <v>2</v>
      </c>
      <c r="C7" s="4" t="s">
        <v>30</v>
      </c>
      <c r="D7" s="4" t="s">
        <v>31</v>
      </c>
      <c r="E7" s="4" t="s">
        <v>32</v>
      </c>
      <c r="F7" s="20" t="s">
        <v>7</v>
      </c>
      <c r="G7" s="21"/>
      <c r="H7" s="21"/>
      <c r="I7" s="4" t="s">
        <v>33</v>
      </c>
    </row>
    <row r="8" spans="2:9" ht="54.95" customHeight="1" x14ac:dyDescent="0.25">
      <c r="B8" s="3">
        <v>3</v>
      </c>
      <c r="C8" s="4" t="s">
        <v>34</v>
      </c>
      <c r="D8" s="4" t="s">
        <v>35</v>
      </c>
      <c r="E8" s="4" t="s">
        <v>36</v>
      </c>
      <c r="F8" s="20" t="s">
        <v>7</v>
      </c>
      <c r="G8" s="21"/>
      <c r="H8" s="21"/>
      <c r="I8" s="4" t="s">
        <v>29</v>
      </c>
    </row>
    <row r="9" spans="2:9" ht="54.95" customHeight="1" x14ac:dyDescent="0.25">
      <c r="B9" s="3">
        <v>4</v>
      </c>
      <c r="C9" s="4" t="s">
        <v>37</v>
      </c>
      <c r="D9" s="4" t="s">
        <v>38</v>
      </c>
      <c r="E9" s="4" t="s">
        <v>39</v>
      </c>
      <c r="F9" s="20" t="s">
        <v>12</v>
      </c>
      <c r="G9" s="21"/>
      <c r="H9" s="21"/>
      <c r="I9" s="4" t="s">
        <v>29</v>
      </c>
    </row>
    <row r="10" spans="2:9" ht="54.95" customHeight="1" x14ac:dyDescent="0.25">
      <c r="B10" s="3">
        <v>5</v>
      </c>
      <c r="C10" s="4" t="s">
        <v>40</v>
      </c>
      <c r="D10" s="4" t="s">
        <v>41</v>
      </c>
      <c r="E10" s="4" t="s">
        <v>42</v>
      </c>
      <c r="F10" s="20" t="s">
        <v>10</v>
      </c>
      <c r="G10" s="21"/>
      <c r="H10" s="21"/>
      <c r="I10" s="4" t="s">
        <v>43</v>
      </c>
    </row>
    <row r="11" spans="2:9" ht="54.95" customHeight="1" x14ac:dyDescent="0.25">
      <c r="B11" s="3">
        <v>6</v>
      </c>
      <c r="C11" s="4" t="s">
        <v>44</v>
      </c>
      <c r="D11" s="4" t="s">
        <v>45</v>
      </c>
      <c r="E11" s="4" t="s">
        <v>46</v>
      </c>
      <c r="F11" s="20" t="s">
        <v>10</v>
      </c>
      <c r="G11" s="21"/>
      <c r="H11" s="21"/>
      <c r="I11" s="4" t="s">
        <v>47</v>
      </c>
    </row>
    <row r="12" spans="2:9" ht="3.95" customHeight="1" x14ac:dyDescent="0.25"/>
    <row r="13" spans="2:9" ht="26.1" customHeight="1" x14ac:dyDescent="0.25">
      <c r="B13" s="41" t="s">
        <v>48</v>
      </c>
      <c r="C13" s="27"/>
      <c r="D13" s="27"/>
      <c r="E13" s="27"/>
      <c r="F13" s="27"/>
      <c r="G13" s="27"/>
      <c r="H13" s="27"/>
      <c r="I13" s="27"/>
    </row>
    <row r="14" spans="2:9" ht="54.95" customHeight="1" x14ac:dyDescent="0.25">
      <c r="B14" s="5">
        <v>7</v>
      </c>
      <c r="C14" s="6" t="s">
        <v>49</v>
      </c>
      <c r="D14" s="6" t="s">
        <v>50</v>
      </c>
      <c r="E14" s="6" t="s">
        <v>51</v>
      </c>
      <c r="F14" s="22" t="s">
        <v>7</v>
      </c>
      <c r="G14" s="23"/>
      <c r="H14" s="23"/>
      <c r="I14" s="6" t="s">
        <v>52</v>
      </c>
    </row>
    <row r="15" spans="2:9" ht="54.95" customHeight="1" x14ac:dyDescent="0.25">
      <c r="B15" s="5">
        <v>8</v>
      </c>
      <c r="C15" s="6" t="s">
        <v>53</v>
      </c>
      <c r="D15" s="6" t="s">
        <v>54</v>
      </c>
      <c r="E15" s="6" t="s">
        <v>55</v>
      </c>
      <c r="F15" s="22" t="s">
        <v>7</v>
      </c>
      <c r="G15" s="23"/>
      <c r="H15" s="23"/>
      <c r="I15" s="6" t="s">
        <v>56</v>
      </c>
    </row>
    <row r="16" spans="2:9" ht="54.95" customHeight="1" x14ac:dyDescent="0.25">
      <c r="B16" s="5">
        <v>9</v>
      </c>
      <c r="C16" s="6" t="s">
        <v>57</v>
      </c>
      <c r="D16" s="6" t="s">
        <v>58</v>
      </c>
      <c r="E16" s="6" t="s">
        <v>59</v>
      </c>
      <c r="F16" s="22" t="s">
        <v>7</v>
      </c>
      <c r="G16" s="23"/>
      <c r="H16" s="23"/>
      <c r="I16" s="6" t="s">
        <v>60</v>
      </c>
    </row>
    <row r="17" spans="2:9" ht="54.95" customHeight="1" x14ac:dyDescent="0.25">
      <c r="B17" s="5">
        <v>10</v>
      </c>
      <c r="C17" s="6" t="s">
        <v>61</v>
      </c>
      <c r="D17" s="6" t="s">
        <v>62</v>
      </c>
      <c r="E17" s="6" t="s">
        <v>63</v>
      </c>
      <c r="F17" s="22" t="s">
        <v>7</v>
      </c>
      <c r="G17" s="23"/>
      <c r="H17" s="23"/>
      <c r="I17" s="6" t="s">
        <v>60</v>
      </c>
    </row>
    <row r="18" spans="2:9" ht="54.95" customHeight="1" x14ac:dyDescent="0.25">
      <c r="B18" s="5">
        <v>11</v>
      </c>
      <c r="C18" s="6" t="s">
        <v>64</v>
      </c>
      <c r="D18" s="6" t="s">
        <v>65</v>
      </c>
      <c r="E18" s="6" t="s">
        <v>66</v>
      </c>
      <c r="F18" s="22" t="s">
        <v>7</v>
      </c>
      <c r="G18" s="23"/>
      <c r="H18" s="23"/>
      <c r="I18" s="6" t="s">
        <v>67</v>
      </c>
    </row>
    <row r="19" spans="2:9" ht="54.95" customHeight="1" x14ac:dyDescent="0.25">
      <c r="B19" s="5">
        <v>12</v>
      </c>
      <c r="C19" s="6" t="s">
        <v>68</v>
      </c>
      <c r="D19" s="6" t="s">
        <v>69</v>
      </c>
      <c r="E19" s="6" t="s">
        <v>70</v>
      </c>
      <c r="F19" s="22" t="s">
        <v>10</v>
      </c>
      <c r="G19" s="23"/>
      <c r="H19" s="23"/>
      <c r="I19" s="6" t="s">
        <v>71</v>
      </c>
    </row>
    <row r="20" spans="2:9" ht="54.95" customHeight="1" x14ac:dyDescent="0.25">
      <c r="B20" s="5">
        <v>13</v>
      </c>
      <c r="C20" s="6" t="s">
        <v>72</v>
      </c>
      <c r="D20" s="6" t="s">
        <v>73</v>
      </c>
      <c r="E20" s="6" t="s">
        <v>74</v>
      </c>
      <c r="F20" s="22" t="s">
        <v>9</v>
      </c>
      <c r="G20" s="23"/>
      <c r="H20" s="23"/>
      <c r="I20" s="6" t="s">
        <v>75</v>
      </c>
    </row>
    <row r="21" spans="2:9" ht="3.95" customHeight="1" x14ac:dyDescent="0.25"/>
    <row r="22" spans="2:9" ht="26.1" customHeight="1" x14ac:dyDescent="0.25">
      <c r="B22" s="39" t="s">
        <v>76</v>
      </c>
      <c r="C22" s="27"/>
      <c r="D22" s="27"/>
      <c r="E22" s="27"/>
      <c r="F22" s="27"/>
      <c r="G22" s="27"/>
      <c r="H22" s="27"/>
      <c r="I22" s="27"/>
    </row>
    <row r="23" spans="2:9" ht="54.95" customHeight="1" x14ac:dyDescent="0.25">
      <c r="B23" s="7">
        <v>14</v>
      </c>
      <c r="C23" s="8" t="s">
        <v>77</v>
      </c>
      <c r="D23" s="8" t="s">
        <v>78</v>
      </c>
      <c r="E23" s="8" t="s">
        <v>79</v>
      </c>
      <c r="F23" s="24" t="s">
        <v>12</v>
      </c>
      <c r="G23" s="25"/>
      <c r="H23" s="25"/>
      <c r="I23" s="8" t="s">
        <v>80</v>
      </c>
    </row>
    <row r="24" spans="2:9" ht="54.95" customHeight="1" x14ac:dyDescent="0.25">
      <c r="B24" s="7">
        <v>15</v>
      </c>
      <c r="C24" s="8" t="s">
        <v>81</v>
      </c>
      <c r="D24" s="8" t="s">
        <v>82</v>
      </c>
      <c r="E24" s="8" t="s">
        <v>83</v>
      </c>
      <c r="F24" s="24" t="s">
        <v>12</v>
      </c>
      <c r="G24" s="25"/>
      <c r="H24" s="25"/>
      <c r="I24" s="8" t="s">
        <v>84</v>
      </c>
    </row>
    <row r="25" spans="2:9" ht="54.95" customHeight="1" x14ac:dyDescent="0.25">
      <c r="B25" s="7">
        <v>16</v>
      </c>
      <c r="C25" s="8" t="s">
        <v>85</v>
      </c>
      <c r="D25" s="8" t="s">
        <v>86</v>
      </c>
      <c r="E25" s="8" t="s">
        <v>87</v>
      </c>
      <c r="F25" s="24" t="s">
        <v>7</v>
      </c>
      <c r="G25" s="25"/>
      <c r="H25" s="25"/>
      <c r="I25" s="8" t="s">
        <v>88</v>
      </c>
    </row>
    <row r="26" spans="2:9" ht="54.95" customHeight="1" x14ac:dyDescent="0.25">
      <c r="B26" s="7">
        <v>17</v>
      </c>
      <c r="C26" s="8" t="s">
        <v>89</v>
      </c>
      <c r="D26" s="8" t="s">
        <v>90</v>
      </c>
      <c r="E26" s="8" t="s">
        <v>91</v>
      </c>
      <c r="F26" s="24" t="s">
        <v>7</v>
      </c>
      <c r="G26" s="25"/>
      <c r="H26" s="25"/>
      <c r="I26" s="8" t="s">
        <v>52</v>
      </c>
    </row>
    <row r="27" spans="2:9" ht="54.95" customHeight="1" x14ac:dyDescent="0.25">
      <c r="B27" s="7">
        <v>18</v>
      </c>
      <c r="C27" s="8" t="s">
        <v>92</v>
      </c>
      <c r="D27" s="8" t="s">
        <v>93</v>
      </c>
      <c r="E27" s="8" t="s">
        <v>94</v>
      </c>
      <c r="F27" s="24" t="s">
        <v>9</v>
      </c>
      <c r="G27" s="25"/>
      <c r="H27" s="25"/>
      <c r="I27" s="8" t="s">
        <v>95</v>
      </c>
    </row>
    <row r="28" spans="2:9" ht="54.95" customHeight="1" x14ac:dyDescent="0.25">
      <c r="B28" s="7">
        <v>19</v>
      </c>
      <c r="C28" s="8" t="s">
        <v>96</v>
      </c>
      <c r="D28" s="8" t="s">
        <v>97</v>
      </c>
      <c r="E28" s="8" t="s">
        <v>98</v>
      </c>
      <c r="F28" s="24" t="s">
        <v>9</v>
      </c>
      <c r="G28" s="25"/>
      <c r="H28" s="25"/>
      <c r="I28" s="8" t="s">
        <v>99</v>
      </c>
    </row>
    <row r="29" spans="2:9" ht="54.95" customHeight="1" x14ac:dyDescent="0.25">
      <c r="B29" s="7">
        <v>20</v>
      </c>
      <c r="C29" s="8" t="s">
        <v>100</v>
      </c>
      <c r="D29" s="8" t="s">
        <v>101</v>
      </c>
      <c r="E29" s="8" t="s">
        <v>102</v>
      </c>
      <c r="F29" s="24" t="s">
        <v>7</v>
      </c>
      <c r="G29" s="25"/>
      <c r="H29" s="25"/>
      <c r="I29" s="8" t="s">
        <v>103</v>
      </c>
    </row>
  </sheetData>
  <sheetProtection sheet="1" objects="1" scenarios="1" selectLockedCells="1"/>
  <autoFilter ref="B4:I29" xr:uid="{00000000-0001-0000-0100-000000000000}"/>
  <mergeCells count="5">
    <mergeCell ref="B22:I22"/>
    <mergeCell ref="B1:I1"/>
    <mergeCell ref="B13:I13"/>
    <mergeCell ref="B2:I2"/>
    <mergeCell ref="B5:I5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D7A338D4-F186-4256-BD76-403504D8B8EF}">
          <x14:formula1>
            <xm:f>Accueil!$B$16:$B$19</xm:f>
          </x14:formula1>
          <xm:sqref>G6 F6:F11 F23:F29</xm:sqref>
        </x14:dataValidation>
        <x14:dataValidation type="list" allowBlank="1" showInputMessage="1" showErrorMessage="1" xr:uid="{E1657E4C-460C-4B77-919C-29F183D22ADB}">
          <x14:formula1>
            <xm:f>Accueil!$B$16:$B$19</xm:f>
          </x14:formula1>
          <xm:sqref>F14:F20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B1:G10"/>
  <sheetViews>
    <sheetView showGridLines="0" topLeftCell="A3" zoomScale="136" zoomScaleNormal="136" workbookViewId="0">
      <selection activeCell="B3" sqref="B3"/>
    </sheetView>
  </sheetViews>
  <sheetFormatPr baseColWidth="10" defaultColWidth="9.140625" defaultRowHeight="15" x14ac:dyDescent="0.25"/>
  <cols>
    <col min="1" max="1" width="3" customWidth="1"/>
    <col min="2" max="2" width="30" customWidth="1"/>
    <col min="3" max="7" width="15" customWidth="1"/>
  </cols>
  <sheetData>
    <row r="1" spans="2:7" ht="32.1" customHeight="1" x14ac:dyDescent="0.25">
      <c r="B1" s="40" t="s">
        <v>104</v>
      </c>
      <c r="C1" s="27"/>
      <c r="D1" s="27"/>
      <c r="E1" s="27"/>
      <c r="F1" s="27"/>
      <c r="G1" s="27"/>
    </row>
    <row r="2" spans="2:7" ht="8.1" customHeight="1" x14ac:dyDescent="0.25"/>
    <row r="3" spans="2:7" ht="27.95" customHeight="1" x14ac:dyDescent="0.25">
      <c r="B3" s="2" t="s">
        <v>105</v>
      </c>
      <c r="C3" s="12" t="str">
        <f>Accueil!B16</f>
        <v>Conforme</v>
      </c>
      <c r="D3" s="2" t="str">
        <f>Accueil!B17</f>
        <v>Non-Conforme</v>
      </c>
      <c r="E3" s="2" t="str">
        <f>Accueil!B18</f>
        <v>Observation</v>
      </c>
      <c r="F3" s="2" t="str">
        <f>Accueil!B19</f>
        <v>N/A</v>
      </c>
      <c r="G3" s="2" t="s">
        <v>106</v>
      </c>
    </row>
    <row r="4" spans="2:7" ht="24" customHeight="1" x14ac:dyDescent="0.25">
      <c r="B4" s="1" t="s">
        <v>107</v>
      </c>
      <c r="C4" s="9">
        <f>COUNTIFS(Contrôles!F6:F11,Synthèse!C3)</f>
        <v>3</v>
      </c>
      <c r="D4" s="9">
        <f>COUNTIFS(Contrôles!F6:F11,Synthèse!D3)</f>
        <v>0</v>
      </c>
      <c r="E4" s="9">
        <f>COUNTIFS(Contrôles!F6:F11,Synthèse!E3)</f>
        <v>2</v>
      </c>
      <c r="F4" s="9">
        <f>COUNTIFS(Contrôles!F6:F11,Synthèse!C3)</f>
        <v>3</v>
      </c>
      <c r="G4" s="10">
        <f>SUM(C4:F4)</f>
        <v>8</v>
      </c>
    </row>
    <row r="5" spans="2:7" ht="24" customHeight="1" x14ac:dyDescent="0.25">
      <c r="B5" s="1" t="s">
        <v>108</v>
      </c>
      <c r="C5" s="9">
        <f>COUNTIFS(Contrôles!F14:F20,Synthèse!C3)</f>
        <v>5</v>
      </c>
      <c r="D5" s="9">
        <f>COUNTIFS(Contrôles!F14:F20,Synthèse!D3)</f>
        <v>1</v>
      </c>
      <c r="E5" s="9">
        <f>COUNTIFS(Contrôles!F14:F20,Synthèse!E3)</f>
        <v>1</v>
      </c>
      <c r="F5" s="9">
        <f>COUNTIFS(Contrôles!F14:F20,Synthèse!F3)</f>
        <v>0</v>
      </c>
      <c r="G5" s="10">
        <f>SUM(C5:F5)</f>
        <v>7</v>
      </c>
    </row>
    <row r="6" spans="2:7" ht="24" customHeight="1" x14ac:dyDescent="0.25">
      <c r="B6" s="1" t="s">
        <v>109</v>
      </c>
      <c r="C6" s="9">
        <f>COUNTIFS(Contrôles!F23:F29,Synthèse!C3)</f>
        <v>3</v>
      </c>
      <c r="D6" s="9">
        <f>COUNTIFS(Contrôles!F23:F29,Synthèse!C3)</f>
        <v>3</v>
      </c>
      <c r="E6" s="9">
        <f>COUNTIFS(Contrôles!F23:F29,Synthèse!C3)</f>
        <v>3</v>
      </c>
      <c r="F6" s="9">
        <f>COUNTIFS(Contrôles!F23:F29,Synthèse!C3)</f>
        <v>3</v>
      </c>
      <c r="G6" s="10">
        <f>SUM(C6:F6)</f>
        <v>12</v>
      </c>
    </row>
    <row r="7" spans="2:7" ht="26.1" customHeight="1" x14ac:dyDescent="0.25">
      <c r="B7" s="11" t="s">
        <v>110</v>
      </c>
      <c r="C7" s="11">
        <f>SUM(C4:C6)</f>
        <v>11</v>
      </c>
      <c r="D7" s="11">
        <f>SUM(D4:D6)</f>
        <v>4</v>
      </c>
      <c r="E7" s="11">
        <f>SUM(E4:E6)</f>
        <v>6</v>
      </c>
      <c r="F7" s="11">
        <f>SUM(F4:F6)</f>
        <v>6</v>
      </c>
      <c r="G7" s="11">
        <f>SUM(G4:G6)</f>
        <v>27</v>
      </c>
    </row>
    <row r="10" spans="2:7" x14ac:dyDescent="0.25">
      <c r="C10" s="13"/>
    </row>
  </sheetData>
  <sheetProtection algorithmName="SHA-512" hashValue="ROxquEjw84sSJ8HifDCUc4/AjpZkKFE1Qkc2V8FrsKfd6sCvFrEpA5Gx34nhHr+0luPXTAfebHC1jTN/M1hHFA==" saltValue="pXntPwGPnv50gPcNuJVmog==" spinCount="100000" sheet="1" objects="1" scenarios="1"/>
  <mergeCells count="1">
    <mergeCell ref="B1:G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Accueil</vt:lpstr>
      <vt:lpstr>Contrôles</vt:lpstr>
      <vt:lpstr>Synthèse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Nimrod Ndoudi</dc:creator>
  <cp:lastModifiedBy>Nimrod Ndoudi</cp:lastModifiedBy>
  <dcterms:created xsi:type="dcterms:W3CDTF">2026-05-08T22:45:10Z</dcterms:created>
  <dcterms:modified xsi:type="dcterms:W3CDTF">2026-06-18T23:34:54Z</dcterms:modified>
</cp:coreProperties>
</file>